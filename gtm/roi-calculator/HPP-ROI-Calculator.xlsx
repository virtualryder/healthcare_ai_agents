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venue Cycle (01)" sheetId="2" state="visible" r:id="rId2"/>
    <sheet xmlns:r="http://schemas.openxmlformats.org/officeDocument/2006/relationships" name="Prior Auth (02)" sheetId="3" state="visible" r:id="rId3"/>
    <sheet xmlns:r="http://schemas.openxmlformats.org/officeDocument/2006/relationships" name="Capacity (generic)" sheetId="4" state="visible" r:id="rId4"/>
    <sheet xmlns:r="http://schemas.openxmlformats.org/officeDocument/2006/relationships" name="Suite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7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sz val="11"/>
    </font>
    <font>
      <name val="Calibri"/>
      <b val="1"/>
      <sz val="11"/>
    </font>
    <font>
      <name val="Calibri"/>
      <color rgb="FF232F3E"/>
      <sz val="11"/>
    </font>
    <font>
      <b val="1"/>
      <sz val="12"/>
    </font>
    <font>
      <i val="1"/>
      <sz val="10"/>
    </font>
  </fonts>
  <fills count="7">
    <fill>
      <patternFill/>
    </fill>
    <fill>
      <patternFill patternType="gray125"/>
    </fill>
    <fill>
      <patternFill patternType="solid">
        <fgColor rgb="FF232F3E"/>
      </patternFill>
    </fill>
    <fill>
      <patternFill patternType="solid">
        <fgColor rgb="FFF4F7FA"/>
      </patternFill>
    </fill>
    <fill>
      <patternFill patternType="solid">
        <fgColor rgb="FFFFF3E0"/>
      </patternFill>
    </fill>
    <fill>
      <patternFill patternType="solid">
        <fgColor rgb="FFE7F5F2"/>
      </patternFill>
    </fill>
    <fill>
      <patternFill patternType="solid">
        <fgColor rgb="FFFF9900"/>
      </patternFill>
    </fill>
  </fills>
  <borders count="2">
    <border>
      <left/>
      <right/>
      <top/>
      <bottom/>
      <diagonal/>
    </border>
    <border>
      <left style="thin">
        <color rgb="FFD6DEE6"/>
      </left>
      <right style="thin">
        <color rgb="FFD6DEE6"/>
      </right>
      <top style="thin">
        <color rgb="FFD6DEE6"/>
      </top>
      <bottom style="thin">
        <color rgb="FFD6DE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3" fontId="3" fillId="4" borderId="1" pivotButton="0" quotePrefix="0" xfId="0"/>
    <xf numFmtId="164" fontId="3" fillId="4" borderId="1" pivotButton="0" quotePrefix="0" xfId="0"/>
    <xf numFmtId="165" fontId="3" fillId="4" borderId="1" pivotButton="0" quotePrefix="0" xfId="0"/>
    <xf numFmtId="9" fontId="3" fillId="4" borderId="1" pivotButton="0" quotePrefix="0" xfId="0"/>
    <xf numFmtId="3" fontId="3" fillId="5" borderId="1" pivotButton="0" quotePrefix="0" xfId="0"/>
    <xf numFmtId="165" fontId="3" fillId="5" borderId="1" pivotButton="0" quotePrefix="0" xfId="0"/>
    <xf numFmtId="1" fontId="3" fillId="4" borderId="1" pivotButton="0" quotePrefix="0" xfId="0"/>
    <xf numFmtId="165" fontId="3" fillId="5" borderId="0" pivotButton="0" quotePrefix="0" xfId="0"/>
    <xf numFmtId="165" fontId="5" fillId="6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6" customHeight="1">
      <c r="A1" s="1" t="inlineStr">
        <is>
          <t>HPP AI Agent Suite — ROI Calculator</t>
        </is>
      </c>
    </row>
    <row r="2">
      <c r="A2" s="2" t="inlineStr"/>
    </row>
    <row r="3">
      <c r="A3" s="3" t="inlineStr">
        <is>
          <t>How to use: edit the ORANGE input cells on each model tab; the TEAL output cells recompute automatically.</t>
        </is>
      </c>
    </row>
    <row r="4">
      <c r="A4" s="3" t="inlineStr">
        <is>
          <t>Tabs: 'Revenue Cycle (01)', 'Prior Auth (02)', 'Capacity (generic)', and 'Suite Summary'.</t>
        </is>
      </c>
    </row>
    <row r="5">
      <c r="A5" s="2" t="inlineStr">
        <is>
          <t>Every default is a benchmark from gtm/HPP-DECK-SOURCES.md (source-class tagged) — replace with the customer's actuals.</t>
        </is>
      </c>
    </row>
    <row r="6">
      <c r="A6" s="2" t="inlineStr"/>
    </row>
    <row r="7">
      <c r="A7" s="3" t="inlineStr">
        <is>
          <t>What this is NOT: a guarantee. It is a decision-support model. The agents do not auto-submit, deny, or recoup;</t>
        </is>
      </c>
    </row>
    <row r="8">
      <c r="A8" s="2" t="inlineStr">
        <is>
          <t>value comes from compressing analyst/clinician minutes and reducing leakage — measured in a pilot, not assumed.</t>
        </is>
      </c>
    </row>
    <row r="9">
      <c r="A9" s="2" t="inlineStr"/>
    </row>
    <row r="10">
      <c r="A10" s="3" t="inlineStr">
        <is>
          <t>Maturity: the suite is Demonstrated + Deployable-by-design. Production-readiness (CSV/CSA, IdP, live-connector</t>
        </is>
      </c>
    </row>
    <row r="11">
      <c r="A11" s="2" t="inlineStr">
        <is>
          <t>validation, penetration test, HITRUST) is the engagement.</t>
        </is>
      </c>
    </row>
    <row r="12">
      <c r="A12" s="2" t="inlineStr"/>
    </row>
    <row r="13">
      <c r="A13" s="2" t="inlineStr">
        <is>
          <t>Benchmarks (defaults): initial denial rate ~11.8% and ~$18B/yr overturning denials [industry-research];</t>
        </is>
      </c>
    </row>
    <row r="14">
      <c r="A14" s="2" t="inlineStr">
        <is>
          <t>~39 prior auths/physician/week (~13 hrs) [association]; healthcare call ~$25-$35 [industry-research].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 ht="26" customHeight="1">
      <c r="A1" s="1" t="inlineStr">
        <is>
          <t>Agent 01 — Revenue-Cycle &amp; Denial ROI</t>
        </is>
      </c>
    </row>
    <row r="3">
      <c r="A3" s="4" t="inlineStr">
        <is>
          <t>Inputs (edit the orange cells)</t>
        </is>
      </c>
    </row>
    <row r="4">
      <c r="A4" s="5" t="inlineStr">
        <is>
          <t>Annual claims volume</t>
        </is>
      </c>
      <c r="B4" s="6" t="n">
        <v>1200000</v>
      </c>
    </row>
    <row r="5">
      <c r="A5" s="5" t="inlineStr">
        <is>
          <t>Initial denial rate</t>
        </is>
      </c>
      <c r="B5" s="7" t="n">
        <v>0.118</v>
      </c>
    </row>
    <row r="6">
      <c r="A6" s="5" t="inlineStr">
        <is>
          <t>Avg net revenue per denied claim ($)</t>
        </is>
      </c>
      <c r="B6" s="8" t="n">
        <v>180</v>
      </c>
    </row>
    <row r="7">
      <c r="A7" s="5" t="inlineStr">
        <is>
          <t>Share of denials currently never reworked</t>
        </is>
      </c>
      <c r="B7" s="9" t="n">
        <v>0.45</v>
      </c>
    </row>
    <row r="8">
      <c r="A8" s="5" t="inlineStr">
        <is>
          <t>Recovery (overturn) lift on newly-worked denials</t>
        </is>
      </c>
      <c r="B8" s="9" t="n">
        <v>0.55</v>
      </c>
    </row>
    <row r="9">
      <c r="A9" s="5" t="inlineStr">
        <is>
          <t>Fully-loaded cost to rework one claim ($)</t>
        </is>
      </c>
      <c r="B9" s="8" t="n">
        <v>57</v>
      </c>
    </row>
    <row r="10">
      <c r="A10" s="5" t="inlineStr">
        <is>
          <t>Agent deflection of manual rework effort</t>
        </is>
      </c>
      <c r="B10" s="9" t="n">
        <v>0.5</v>
      </c>
    </row>
    <row r="12">
      <c r="A12" s="4" t="inlineStr">
        <is>
          <t>Outputs (compute automatically)</t>
        </is>
      </c>
    </row>
    <row r="13">
      <c r="A13" s="5" t="inlineStr">
        <is>
          <t>Denied claims / year</t>
        </is>
      </c>
      <c r="B13" s="10">
        <f>B4*B5</f>
        <v/>
      </c>
    </row>
    <row r="14">
      <c r="A14" s="5" t="inlineStr">
        <is>
          <t>Recovered revenue (previously abandoned) / year</t>
        </is>
      </c>
      <c r="B14" s="11">
        <f>B13*B7*B8*B6</f>
        <v/>
      </c>
    </row>
    <row r="15">
      <c r="A15" s="5" t="inlineStr">
        <is>
          <t>Rework cost avoided / year</t>
        </is>
      </c>
      <c r="B15" s="11">
        <f>B13*(1-B7)*B9*B10</f>
        <v/>
      </c>
    </row>
    <row r="16">
      <c r="A16" s="5" t="inlineStr">
        <is>
          <t>Total modeled annual value</t>
        </is>
      </c>
      <c r="B16" s="11">
        <f>B14+B15</f>
        <v/>
      </c>
    </row>
  </sheetData>
  <mergeCells count="3">
    <mergeCell ref="A1:C1"/>
    <mergeCell ref="A3:C3"/>
    <mergeCell ref="A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 ht="26" customHeight="1">
      <c r="A1" s="1" t="inlineStr">
        <is>
          <t>Agent 02 — Prior-Authorization ROI</t>
        </is>
      </c>
    </row>
    <row r="3">
      <c r="A3" s="4" t="inlineStr">
        <is>
          <t>Inputs (edit the orange cells)</t>
        </is>
      </c>
    </row>
    <row r="4">
      <c r="A4" s="5" t="inlineStr">
        <is>
          <t>Prior auths per provider per week</t>
        </is>
      </c>
      <c r="B4" s="12" t="n">
        <v>39</v>
      </c>
    </row>
    <row r="5">
      <c r="A5" s="5" t="inlineStr">
        <is>
          <t>Providers in scope</t>
        </is>
      </c>
      <c r="B5" s="6" t="n">
        <v>200</v>
      </c>
    </row>
    <row r="6">
      <c r="A6" s="5" t="inlineStr">
        <is>
          <t>Staff minutes per prior auth (assembly/admin)</t>
        </is>
      </c>
      <c r="B6" s="12" t="n">
        <v>20</v>
      </c>
    </row>
    <row r="7">
      <c r="A7" s="5" t="inlineStr">
        <is>
          <t>Agent deflection of assembly/admin time</t>
        </is>
      </c>
      <c r="B7" s="9" t="n">
        <v>0.55</v>
      </c>
    </row>
    <row r="8">
      <c r="A8" s="5" t="inlineStr">
        <is>
          <t>Loaded staff cost per hour ($)</t>
        </is>
      </c>
      <c r="B8" s="8" t="n">
        <v>55</v>
      </c>
    </row>
    <row r="9">
      <c r="A9" s="5" t="inlineStr">
        <is>
          <t>Working weeks per year</t>
        </is>
      </c>
      <c r="B9" s="12" t="n">
        <v>48</v>
      </c>
    </row>
    <row r="11">
      <c r="A11" s="4" t="inlineStr">
        <is>
          <t>Outputs (compute automatically)</t>
        </is>
      </c>
    </row>
    <row r="12">
      <c r="A12" s="5" t="inlineStr">
        <is>
          <t>Staff hours returned / year</t>
        </is>
      </c>
      <c r="B12" s="10">
        <f>B4*B5*(B6/60)*B7*B9</f>
        <v/>
      </c>
    </row>
    <row r="13">
      <c r="A13" s="5" t="inlineStr">
        <is>
          <t>Annualized cost avoided / year</t>
        </is>
      </c>
      <c r="B13" s="11">
        <f>B12*B8</f>
        <v/>
      </c>
    </row>
  </sheetData>
  <mergeCells count="3">
    <mergeCell ref="A1:C1"/>
    <mergeCell ref="A3:C3"/>
    <mergeCell ref="A11:C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 ht="26" customHeight="1">
      <c r="A1" s="1" t="inlineStr">
        <is>
          <t>Generic Capacity Model (03 / 05 / 06 / 07 / 08)</t>
        </is>
      </c>
    </row>
    <row r="3">
      <c r="A3" s="4" t="inlineStr">
        <is>
          <t>Inputs (edit the orange cells)</t>
        </is>
      </c>
    </row>
    <row r="4">
      <c r="A4" s="5" t="inlineStr">
        <is>
          <t>Work items / month (visits, reviews, claims, calls)</t>
        </is>
      </c>
      <c r="B4" s="6" t="n">
        <v>50000</v>
      </c>
    </row>
    <row r="5">
      <c r="A5" s="5" t="inlineStr">
        <is>
          <t>Staff minutes per item today</t>
        </is>
      </c>
      <c r="B5" s="12" t="n">
        <v>12</v>
      </c>
    </row>
    <row r="6">
      <c r="A6" s="5" t="inlineStr">
        <is>
          <t>Agent deflection / assist factor</t>
        </is>
      </c>
      <c r="B6" s="9" t="n">
        <v>0.45</v>
      </c>
    </row>
    <row r="7">
      <c r="A7" s="5" t="inlineStr">
        <is>
          <t>Loaded staff cost per hour ($)</t>
        </is>
      </c>
      <c r="B7" s="8" t="n">
        <v>60</v>
      </c>
    </row>
    <row r="9">
      <c r="A9" s="4" t="inlineStr">
        <is>
          <t>Outputs (compute automatically)</t>
        </is>
      </c>
    </row>
    <row r="10">
      <c r="A10" s="5" t="inlineStr">
        <is>
          <t>Staff hours returned / month</t>
        </is>
      </c>
      <c r="B10" s="10">
        <f>B4*(B5/60)*B6</f>
        <v/>
      </c>
    </row>
    <row r="11">
      <c r="A11" s="5" t="inlineStr">
        <is>
          <t>Annualized capacity recovered ($)</t>
        </is>
      </c>
      <c r="B11" s="11">
        <f>B10*12*B7</f>
        <v/>
      </c>
    </row>
  </sheetData>
  <mergeCells count="3">
    <mergeCell ref="A1:C1"/>
    <mergeCell ref="A9:C9"/>
    <mergeCell ref="A3:C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</cols>
  <sheetData>
    <row r="1" ht="26" customHeight="1">
      <c r="A1" s="1" t="inlineStr">
        <is>
          <t>Suite Summary — modeled annual value</t>
        </is>
      </c>
    </row>
    <row r="3">
      <c r="A3" s="5" t="inlineStr">
        <is>
          <t>Agent 01 — Revenue Cycle &amp; Denial</t>
        </is>
      </c>
      <c r="B3" s="13">
        <f>'Revenue Cycle (01)'!B16</f>
        <v/>
      </c>
    </row>
    <row r="4">
      <c r="A4" s="5" t="inlineStr">
        <is>
          <t>Agent 02 — Prior-Authorization</t>
        </is>
      </c>
      <c r="B4" s="13">
        <f>'Prior Auth (02)'!B13</f>
        <v/>
      </c>
    </row>
    <row r="5">
      <c r="A5" s="5" t="inlineStr">
        <is>
          <t>Agents 03/05/06/07/08 — Capacity (generic, per agent)</t>
        </is>
      </c>
      <c r="B5" s="13">
        <f>'Capacity (generic)'!B11</f>
        <v/>
      </c>
    </row>
    <row r="7">
      <c r="A7" s="3" t="inlineStr">
        <is>
          <t>Indicative total (01 + 02 + one capacity agent)</t>
        </is>
      </c>
      <c r="B7" s="14">
        <f>B3+B4+B5</f>
        <v/>
      </c>
    </row>
    <row r="9">
      <c r="A9" s="15" t="inlineStr">
        <is>
          <t>Note: indicative only; scope the capacity model to each in-scope agent. Not a guarantee.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2026-06-26T14:28:52Z</dcterms:created>
  <dcterms:modified xmlns:dcterms="http://purl.org/dc/terms/" xmlns:xsi="http://www.w3.org/2001/XMLSchema-instance" xsi:type="dcterms:W3CDTF">2026-06-26T14:28:52Z</dcterms:modified>
</cp:coreProperties>
</file>